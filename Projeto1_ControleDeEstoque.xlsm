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689f83e5731097/Documentos/Cursos/Portfolio/VBA/"/>
    </mc:Choice>
  </mc:AlternateContent>
  <xr:revisionPtr revIDLastSave="562" documentId="13_ncr:1_{6AE9432C-5BF3-447C-829F-B12AE9437BBF}" xr6:coauthVersionLast="47" xr6:coauthVersionMax="47" xr10:uidLastSave="{DE6D88AF-5CD9-46B6-A6EF-EA6EE23F9701}"/>
  <bookViews>
    <workbookView showSheetTabs="0" xWindow="-120" yWindow="-120" windowWidth="24240" windowHeight="13140" activeTab="2" xr2:uid="{B1E16B58-2BE1-4668-8E20-4A47E79A022E}"/>
  </bookViews>
  <sheets>
    <sheet name="Menu Principal" sheetId="6" r:id="rId1"/>
    <sheet name="ControleDeProdutos" sheetId="1" r:id="rId2"/>
    <sheet name="Registro_Transacao" sheetId="2" r:id="rId3"/>
    <sheet name="Filtro_Transacao" sheetId="3" r:id="rId4"/>
    <sheet name="Estoque" sheetId="4" r:id="rId5"/>
    <sheet name="Filtro_Estoque" sheetId="5" r:id="rId6"/>
    <sheet name="Imprimir" sheetId="8" r:id="rId7"/>
  </sheets>
  <definedNames>
    <definedName name="_xlnm._FilterDatabase" localSheetId="4" hidden="1">Estoque!$A$1:$D$19</definedName>
    <definedName name="_xlnm._FilterDatabase" localSheetId="2" hidden="1">Registro_Transacao!$A$1:$G$13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D3" i="4" s="1"/>
  <c r="C3" i="4"/>
  <c r="B4" i="4"/>
  <c r="D4" i="4" s="1"/>
  <c r="C4" i="4"/>
  <c r="B5" i="4"/>
  <c r="D5" i="4" s="1"/>
  <c r="C5" i="4"/>
  <c r="B6" i="4"/>
  <c r="D6" i="4" s="1"/>
  <c r="C6" i="4"/>
  <c r="B7" i="4"/>
  <c r="D7" i="4" s="1"/>
  <c r="C7" i="4"/>
  <c r="B8" i="4"/>
  <c r="D8" i="4" s="1"/>
  <c r="C8" i="4"/>
  <c r="B9" i="4"/>
  <c r="D9" i="4" s="1"/>
  <c r="C9" i="4"/>
  <c r="B10" i="4"/>
  <c r="C10" i="4"/>
  <c r="D10" i="4" s="1"/>
  <c r="B11" i="4"/>
  <c r="D11" i="4" s="1"/>
  <c r="C11" i="4"/>
  <c r="B12" i="4"/>
  <c r="D12" i="4" s="1"/>
  <c r="C12" i="4"/>
  <c r="B13" i="4"/>
  <c r="D13" i="4" s="1"/>
  <c r="C13" i="4"/>
  <c r="C2" i="4"/>
  <c r="B2" i="4"/>
  <c r="D2" i="4" l="1"/>
</calcChain>
</file>

<file path=xl/sharedStrings.xml><?xml version="1.0" encoding="utf-8"?>
<sst xmlns="http://schemas.openxmlformats.org/spreadsheetml/2006/main" count="222" uniqueCount="37">
  <si>
    <t>ID</t>
  </si>
  <si>
    <t>PRODUTO</t>
  </si>
  <si>
    <t>CUSTO</t>
  </si>
  <si>
    <t>PREÇO</t>
  </si>
  <si>
    <t>Custo = Custo de compra do produto</t>
  </si>
  <si>
    <t>Produto1</t>
  </si>
  <si>
    <t>Preço = Preço que será vendido o produto</t>
  </si>
  <si>
    <t>Produto2</t>
  </si>
  <si>
    <t>Produto3</t>
  </si>
  <si>
    <t>Produto4</t>
  </si>
  <si>
    <t>Produto5</t>
  </si>
  <si>
    <t>Produto6</t>
  </si>
  <si>
    <t>Produto7</t>
  </si>
  <si>
    <t>Produto8</t>
  </si>
  <si>
    <t>Produto9</t>
  </si>
  <si>
    <t>Produto10</t>
  </si>
  <si>
    <t>Produto12</t>
  </si>
  <si>
    <t>Produto13</t>
  </si>
  <si>
    <t>QUANTIDADE</t>
  </si>
  <si>
    <t>TIPO</t>
  </si>
  <si>
    <t>VALOR</t>
  </si>
  <si>
    <t>TOTAL</t>
  </si>
  <si>
    <t>DATA</t>
  </si>
  <si>
    <t>Compra</t>
  </si>
  <si>
    <t>25/06/2022</t>
  </si>
  <si>
    <t>Venda</t>
  </si>
  <si>
    <t>26/06/2022</t>
  </si>
  <si>
    <t>COMPRAS</t>
  </si>
  <si>
    <t>VENDAS</t>
  </si>
  <si>
    <t>ESTOQUE</t>
  </si>
  <si>
    <t>Produtos cadastrados no banco de dados</t>
  </si>
  <si>
    <t>Registro de Transações</t>
  </si>
  <si>
    <t>Estoque</t>
  </si>
  <si>
    <t>14/02/2024</t>
  </si>
  <si>
    <t>15/02/2024</t>
  </si>
  <si>
    <t>Produto19</t>
  </si>
  <si>
    <t>Produto20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</si>
</sst>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1" applyFont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598170</xdr:colOff>
      <xdr:row>3</xdr:row>
      <xdr:rowOff>167640</xdr:rowOff>
    </xdr:from>
    <xdr:to>
      <xdr:col>8</xdr:col>
      <xdr:colOff>167640</xdr:colOff>
      <xdr:row>5</xdr:row>
      <xdr:rowOff>137160</xdr:rowOff>
    </xdr:to>
    <xdr:sp macro="[0]!chama_form" textlink="">
      <xdr:nvSpPr>
        <xdr:cNvPr id="2" name="Retângulo 1">
          <a:extLst>
            <a:ext uri="{FF2B5EF4-FFF2-40B4-BE49-F238E27FC236}">
              <a16:creationId xmlns:a16="http://schemas.microsoft.com/office/drawing/2014/main" id="{DA877C59-2DF2-F7BD-FC44-51BDEAE0E907}"/>
            </a:ext>
          </a:extLst>
        </xdr:cNvPr>
        <xdr:cNvSpPr/>
      </xdr:nvSpPr>
      <xdr:spPr>
        <a:xfrm>
          <a:off x="3935730" y="716280"/>
          <a:ext cx="2007870" cy="335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ABRIR FORMULÁRIO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A7A6-FAB5-46A3-80FE-961E4E6A5645}">
  <sheetPr codeName="Planilha6"/>
  <dimension ref="A1:AZ260"/>
  <sheetViews>
    <sheetView showGridLines="0" showRowColHeaders="0" workbookViewId="0">
      <selection activeCell="E23" sqref="E23"/>
    </sheetView>
  </sheetViews>
  <sheetFormatPr defaultRowHeight="15" x14ac:dyDescent="0.25"/>
  <sheetData>
    <row r="1" spans="1:52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</row>
    <row r="3" spans="1:52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</row>
    <row r="4" spans="1:52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</row>
    <row r="5" spans="1:52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</row>
    <row r="7" spans="1:52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</row>
    <row r="8" spans="1:52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</row>
    <row r="121" spans="1:52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</row>
    <row r="122" spans="1:52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</row>
    <row r="124" spans="1:52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</row>
    <row r="125" spans="1:52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</row>
    <row r="127" spans="1:52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</row>
    <row r="128" spans="1:52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</row>
    <row r="130" spans="1:52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</row>
    <row r="131" spans="1:52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</row>
    <row r="133" spans="1:52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</row>
    <row r="134" spans="1:52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</row>
    <row r="136" spans="1:52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</row>
    <row r="137" spans="1:52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</row>
    <row r="139" spans="1:52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</row>
    <row r="140" spans="1:52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</row>
    <row r="142" spans="1:52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</row>
    <row r="143" spans="1:52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</row>
    <row r="145" spans="1:52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</row>
    <row r="146" spans="1:52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</row>
    <row r="148" spans="1:52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</row>
    <row r="149" spans="1:52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</row>
    <row r="151" spans="1:52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</row>
    <row r="152" spans="1:52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</row>
    <row r="154" spans="1:52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</row>
    <row r="155" spans="1:52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</row>
    <row r="157" spans="1:52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</row>
    <row r="158" spans="1:52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</row>
    <row r="160" spans="1:52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</row>
    <row r="161" spans="1:52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</row>
    <row r="163" spans="1:52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</row>
    <row r="164" spans="1:52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</row>
    <row r="166" spans="1:52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</row>
    <row r="167" spans="1:52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</row>
    <row r="169" spans="1:52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</row>
    <row r="170" spans="1:52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</row>
    <row r="172" spans="1:52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</row>
    <row r="173" spans="1:52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</row>
    <row r="175" spans="1:52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</row>
    <row r="176" spans="1:52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</row>
    <row r="178" spans="1:52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</row>
    <row r="179" spans="1:52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</row>
    <row r="181" spans="1:52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</row>
    <row r="182" spans="1:52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</row>
    <row r="184" spans="1:52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</row>
    <row r="185" spans="1:52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</row>
    <row r="187" spans="1:52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</row>
    <row r="188" spans="1:52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</row>
    <row r="190" spans="1:52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</row>
    <row r="191" spans="1:52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</row>
    <row r="193" spans="1:52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</row>
    <row r="194" spans="1:52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</row>
    <row r="196" spans="1:52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</row>
    <row r="197" spans="1:52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</row>
    <row r="199" spans="1:52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</row>
    <row r="200" spans="1:52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</row>
    <row r="202" spans="1:52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</row>
    <row r="203" spans="1:52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</row>
    <row r="205" spans="1:52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</row>
    <row r="206" spans="1:52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</row>
    <row r="208" spans="1:52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</row>
    <row r="209" spans="1:52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</row>
    <row r="211" spans="1:52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</row>
    <row r="212" spans="1:52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</row>
    <row r="214" spans="1:52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</row>
    <row r="215" spans="1:52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</row>
    <row r="217" spans="1:52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</row>
    <row r="218" spans="1:52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</row>
    <row r="220" spans="1:52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</row>
    <row r="221" spans="1:52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</row>
    <row r="223" spans="1:52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</row>
    <row r="224" spans="1:52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</row>
    <row r="226" spans="1:52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</row>
    <row r="227" spans="1:52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</row>
    <row r="229" spans="1:52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</row>
    <row r="230" spans="1:52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</row>
    <row r="231" spans="1:52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</row>
    <row r="232" spans="1:52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</row>
    <row r="233" spans="1:52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</row>
    <row r="234" spans="1:52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</row>
    <row r="235" spans="1:52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</row>
    <row r="236" spans="1:52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</row>
    <row r="237" spans="1:52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</row>
    <row r="238" spans="1:52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</row>
    <row r="239" spans="1:52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</row>
    <row r="240" spans="1:52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</row>
    <row r="241" spans="1:52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</row>
    <row r="242" spans="1:52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</row>
    <row r="243" spans="1:52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</row>
    <row r="244" spans="1:52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</row>
    <row r="245" spans="1:52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</row>
    <row r="246" spans="1:52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</row>
    <row r="247" spans="1:52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</row>
    <row r="248" spans="1:52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</row>
    <row r="249" spans="1:52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</row>
    <row r="250" spans="1:52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</row>
    <row r="251" spans="1:52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</row>
    <row r="252" spans="1:52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</row>
    <row r="253" spans="1:52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</row>
    <row r="254" spans="1:52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</row>
    <row r="255" spans="1:52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</row>
    <row r="256" spans="1:52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</row>
    <row r="257" spans="1:52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</row>
    <row r="258" spans="1:52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</row>
    <row r="259" spans="1:52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</row>
    <row r="260" spans="1:52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90C7-A259-4C9D-9433-38AFB4999F66}">
  <sheetPr codeName="Planilha1"/>
  <dimension ref="A1:F15"/>
  <sheetViews>
    <sheetView showGridLines="0" workbookViewId="0">
      <selection activeCell="D26" sqref="D26"/>
    </sheetView>
  </sheetViews>
  <sheetFormatPr defaultRowHeight="15" x14ac:dyDescent="0.25"/>
  <cols>
    <col min="1" max="1" width="9.140625" style="1"/>
    <col min="2" max="2" width="14.85546875" style="1" customWidth="1"/>
    <col min="3" max="3" width="11.28515625" style="3" customWidth="1"/>
    <col min="4" max="4" width="13.28515625" style="3" bestFit="1" customWidth="1"/>
  </cols>
  <sheetData>
    <row r="1" spans="1:6" x14ac:dyDescent="0.25">
      <c r="A1" s="2" t="s">
        <v>0</v>
      </c>
      <c r="B1" s="2" t="s">
        <v>1</v>
      </c>
      <c r="C1" s="4" t="s">
        <v>2</v>
      </c>
      <c r="D1" s="4" t="s">
        <v>3</v>
      </c>
      <c r="F1" t="s">
        <v>4</v>
      </c>
    </row>
    <row r="2" spans="1:6" x14ac:dyDescent="0.25">
      <c r="A2" s="1">
        <v>1</v>
      </c>
      <c r="B2" s="1" t="s">
        <v>5</v>
      </c>
      <c r="C2" s="3">
        <v>10</v>
      </c>
      <c r="D2" s="3">
        <v>20</v>
      </c>
      <c r="F2" t="s">
        <v>6</v>
      </c>
    </row>
    <row r="3" spans="1:6" x14ac:dyDescent="0.25">
      <c r="A3" s="1">
        <v>2</v>
      </c>
      <c r="B3" s="1" t="s">
        <v>7</v>
      </c>
      <c r="C3" s="3">
        <v>5.99</v>
      </c>
      <c r="D3" s="3">
        <v>7.99</v>
      </c>
    </row>
    <row r="4" spans="1:6" x14ac:dyDescent="0.25">
      <c r="A4" s="1">
        <v>3</v>
      </c>
      <c r="B4" s="1" t="s">
        <v>8</v>
      </c>
      <c r="C4" s="3">
        <v>8.99</v>
      </c>
      <c r="D4" s="3">
        <v>11.99</v>
      </c>
    </row>
    <row r="5" spans="1:6" x14ac:dyDescent="0.25">
      <c r="A5" s="1">
        <v>4</v>
      </c>
      <c r="B5" s="1" t="s">
        <v>9</v>
      </c>
      <c r="C5" s="3">
        <v>8.99</v>
      </c>
      <c r="D5" s="3">
        <v>11.99</v>
      </c>
    </row>
    <row r="6" spans="1:6" x14ac:dyDescent="0.25">
      <c r="A6" s="1">
        <v>5</v>
      </c>
      <c r="B6" s="1" t="s">
        <v>10</v>
      </c>
      <c r="C6" s="3">
        <v>19.989999999999998</v>
      </c>
      <c r="D6" s="3">
        <v>30</v>
      </c>
    </row>
    <row r="7" spans="1:6" x14ac:dyDescent="0.25">
      <c r="A7" s="1">
        <v>6</v>
      </c>
      <c r="B7" s="1" t="s">
        <v>11</v>
      </c>
      <c r="C7" s="3">
        <v>0.99</v>
      </c>
      <c r="D7" s="3">
        <v>3.99</v>
      </c>
    </row>
    <row r="8" spans="1:6" x14ac:dyDescent="0.25">
      <c r="A8" s="1">
        <v>7</v>
      </c>
      <c r="B8" s="1" t="s">
        <v>12</v>
      </c>
      <c r="C8" s="3">
        <v>3</v>
      </c>
      <c r="D8" s="3">
        <v>7</v>
      </c>
    </row>
    <row r="9" spans="1:6" x14ac:dyDescent="0.25">
      <c r="A9" s="1">
        <v>8</v>
      </c>
      <c r="B9" s="1" t="s">
        <v>13</v>
      </c>
      <c r="C9" s="3">
        <v>8.99</v>
      </c>
      <c r="D9" s="3">
        <v>11.99</v>
      </c>
    </row>
    <row r="10" spans="1:6" x14ac:dyDescent="0.25">
      <c r="A10" s="1">
        <v>9</v>
      </c>
      <c r="B10" s="1" t="s">
        <v>14</v>
      </c>
      <c r="C10" s="3">
        <v>50</v>
      </c>
      <c r="D10" s="3">
        <v>55</v>
      </c>
    </row>
    <row r="11" spans="1:6" x14ac:dyDescent="0.25">
      <c r="A11" s="1">
        <v>10</v>
      </c>
      <c r="B11" s="1" t="s">
        <v>15</v>
      </c>
      <c r="C11" s="3">
        <v>1</v>
      </c>
      <c r="D11" s="3">
        <v>3</v>
      </c>
    </row>
    <row r="12" spans="1:6" x14ac:dyDescent="0.25">
      <c r="A12" s="1">
        <v>12</v>
      </c>
      <c r="B12" s="1" t="s">
        <v>16</v>
      </c>
      <c r="C12" s="3">
        <v>100</v>
      </c>
      <c r="D12" s="3">
        <v>145</v>
      </c>
    </row>
    <row r="13" spans="1:6" x14ac:dyDescent="0.25">
      <c r="A13" s="1">
        <v>13</v>
      </c>
      <c r="B13" s="1" t="s">
        <v>17</v>
      </c>
      <c r="C13" s="3">
        <v>1</v>
      </c>
      <c r="D13" s="3">
        <v>3</v>
      </c>
    </row>
    <row r="14" spans="1:6" x14ac:dyDescent="0.25">
      <c r="A14" s="1">
        <v>14</v>
      </c>
      <c r="B14" s="1" t="s">
        <v>35</v>
      </c>
      <c r="C14" s="3">
        <v>20</v>
      </c>
      <c r="D14" s="3">
        <v>50</v>
      </c>
    </row>
    <row r="15" spans="1:6" x14ac:dyDescent="0.25">
      <c r="A15" s="1">
        <v>15</v>
      </c>
      <c r="B15" s="1" t="s">
        <v>36</v>
      </c>
      <c r="C15" s="3">
        <v>1</v>
      </c>
      <c r="D15" s="3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6016-7671-4F59-A048-06B144D2FE88}">
  <sheetPr codeName="Planilha2"/>
  <dimension ref="A1:G14"/>
  <sheetViews>
    <sheetView showGridLines="0" tabSelected="1" workbookViewId="0">
      <selection activeCell="G8" sqref="G8"/>
    </sheetView>
  </sheetViews>
  <sheetFormatPr defaultRowHeight="15" x14ac:dyDescent="0.25"/>
  <cols>
    <col min="1" max="1" width="4.7109375" style="1" customWidth="1"/>
    <col min="2" max="2" width="14.140625" style="1" customWidth="1"/>
    <col min="3" max="3" width="17.28515625" style="8" customWidth="1"/>
    <col min="4" max="4" width="10.140625" style="1" customWidth="1"/>
    <col min="5" max="5" width="11.5703125" style="7" customWidth="1"/>
    <col min="6" max="6" width="14.140625" style="6" customWidth="1"/>
    <col min="7" max="7" width="16" style="5" customWidth="1"/>
  </cols>
  <sheetData>
    <row r="1" spans="1:7" x14ac:dyDescent="0.25">
      <c r="A1" s="1" t="s">
        <v>0</v>
      </c>
      <c r="B1" s="1" t="s">
        <v>1</v>
      </c>
      <c r="C1" s="8" t="s">
        <v>18</v>
      </c>
      <c r="D1" s="1" t="s">
        <v>19</v>
      </c>
      <c r="E1" s="7" t="s">
        <v>20</v>
      </c>
      <c r="F1" s="6" t="s">
        <v>21</v>
      </c>
      <c r="G1" s="5" t="s">
        <v>22</v>
      </c>
    </row>
    <row r="2" spans="1:7" x14ac:dyDescent="0.25">
      <c r="A2" s="1">
        <v>5</v>
      </c>
      <c r="B2" s="1" t="s">
        <v>7</v>
      </c>
      <c r="C2" s="8">
        <v>10</v>
      </c>
      <c r="D2" s="1" t="s">
        <v>23</v>
      </c>
      <c r="E2" s="7">
        <v>5.99</v>
      </c>
      <c r="F2" s="6">
        <v>59.900000000000006</v>
      </c>
      <c r="G2" s="5" t="s">
        <v>24</v>
      </c>
    </row>
    <row r="3" spans="1:7" x14ac:dyDescent="0.25">
      <c r="A3" s="1">
        <v>8</v>
      </c>
      <c r="B3" s="1" t="s">
        <v>8</v>
      </c>
      <c r="C3" s="8">
        <v>20</v>
      </c>
      <c r="D3" s="1" t="s">
        <v>23</v>
      </c>
      <c r="E3" s="7">
        <v>8.99</v>
      </c>
      <c r="F3" s="6">
        <v>179.8</v>
      </c>
      <c r="G3" s="5" t="s">
        <v>24</v>
      </c>
    </row>
    <row r="4" spans="1:7" x14ac:dyDescent="0.25">
      <c r="A4" s="1">
        <v>14</v>
      </c>
      <c r="B4" s="1" t="s">
        <v>10</v>
      </c>
      <c r="C4" s="8">
        <v>11</v>
      </c>
      <c r="D4" s="1" t="s">
        <v>23</v>
      </c>
      <c r="E4" s="7">
        <v>19.989999999999998</v>
      </c>
      <c r="F4" s="6">
        <v>219.89</v>
      </c>
      <c r="G4" s="5" t="s">
        <v>24</v>
      </c>
    </row>
    <row r="5" spans="1:7" x14ac:dyDescent="0.25">
      <c r="A5" s="1">
        <v>15</v>
      </c>
      <c r="B5" s="1" t="s">
        <v>10</v>
      </c>
      <c r="C5" s="8">
        <v>9</v>
      </c>
      <c r="D5" s="1" t="s">
        <v>25</v>
      </c>
      <c r="E5" s="7">
        <v>30</v>
      </c>
      <c r="F5" s="6">
        <v>270</v>
      </c>
      <c r="G5" s="5" t="s">
        <v>24</v>
      </c>
    </row>
    <row r="6" spans="1:7" x14ac:dyDescent="0.25">
      <c r="A6" s="1">
        <v>16</v>
      </c>
      <c r="B6" s="1" t="s">
        <v>11</v>
      </c>
      <c r="C6" s="8">
        <v>27</v>
      </c>
      <c r="D6" s="1" t="s">
        <v>23</v>
      </c>
      <c r="E6" s="7">
        <v>0.99</v>
      </c>
      <c r="F6" s="6">
        <v>26.73</v>
      </c>
      <c r="G6" s="5" t="s">
        <v>24</v>
      </c>
    </row>
    <row r="7" spans="1:7" x14ac:dyDescent="0.25">
      <c r="A7" s="1">
        <v>17</v>
      </c>
      <c r="B7" s="1" t="s">
        <v>11</v>
      </c>
      <c r="C7" s="8">
        <v>3</v>
      </c>
      <c r="D7" s="1" t="s">
        <v>25</v>
      </c>
      <c r="E7" s="7">
        <v>3.99</v>
      </c>
      <c r="F7" s="6">
        <v>11.97</v>
      </c>
      <c r="G7" s="5" t="s">
        <v>26</v>
      </c>
    </row>
    <row r="8" spans="1:7" x14ac:dyDescent="0.25">
      <c r="A8" s="1">
        <v>18</v>
      </c>
      <c r="B8" s="1" t="s">
        <v>12</v>
      </c>
      <c r="C8" s="8">
        <v>90</v>
      </c>
      <c r="D8" s="1" t="s">
        <v>23</v>
      </c>
      <c r="E8" s="7">
        <v>3</v>
      </c>
      <c r="F8" s="6">
        <v>270</v>
      </c>
      <c r="G8" s="5" t="s">
        <v>24</v>
      </c>
    </row>
    <row r="9" spans="1:7" x14ac:dyDescent="0.25">
      <c r="A9" s="1">
        <v>20</v>
      </c>
      <c r="B9" s="1" t="s">
        <v>12</v>
      </c>
      <c r="C9" s="8">
        <v>20</v>
      </c>
      <c r="D9" s="1" t="s">
        <v>25</v>
      </c>
      <c r="E9" s="7">
        <v>7</v>
      </c>
      <c r="F9" s="6">
        <v>140</v>
      </c>
      <c r="G9" s="5" t="s">
        <v>24</v>
      </c>
    </row>
    <row r="10" spans="1:7" x14ac:dyDescent="0.25">
      <c r="A10" s="1">
        <v>21</v>
      </c>
      <c r="B10" s="1" t="s">
        <v>5</v>
      </c>
      <c r="C10" s="8">
        <v>100</v>
      </c>
      <c r="D10" s="1" t="s">
        <v>23</v>
      </c>
      <c r="E10" s="7">
        <v>10</v>
      </c>
      <c r="F10" s="6">
        <v>1000</v>
      </c>
      <c r="G10" s="5" t="s">
        <v>24</v>
      </c>
    </row>
    <row r="11" spans="1:7" x14ac:dyDescent="0.25">
      <c r="A11" s="1">
        <v>22</v>
      </c>
      <c r="B11" s="1" t="s">
        <v>7</v>
      </c>
      <c r="C11" s="8">
        <v>10</v>
      </c>
      <c r="D11" s="1" t="s">
        <v>23</v>
      </c>
      <c r="E11" s="7">
        <v>5.99</v>
      </c>
      <c r="F11" s="6">
        <v>59.900000000000006</v>
      </c>
      <c r="G11" s="5" t="s">
        <v>24</v>
      </c>
    </row>
    <row r="12" spans="1:7" x14ac:dyDescent="0.25">
      <c r="A12" s="1">
        <v>23</v>
      </c>
      <c r="B12" s="1" t="s">
        <v>7</v>
      </c>
      <c r="C12" s="8">
        <v>1</v>
      </c>
      <c r="D12" s="1" t="s">
        <v>25</v>
      </c>
      <c r="E12" s="7">
        <v>7.99</v>
      </c>
      <c r="F12" s="6">
        <v>7.99</v>
      </c>
      <c r="G12" s="5" t="s">
        <v>33</v>
      </c>
    </row>
    <row r="13" spans="1:7" x14ac:dyDescent="0.25">
      <c r="A13" s="1">
        <v>24</v>
      </c>
      <c r="B13" s="1" t="s">
        <v>8</v>
      </c>
      <c r="C13" s="8">
        <v>10</v>
      </c>
      <c r="D13" s="1" t="s">
        <v>23</v>
      </c>
      <c r="E13" s="7">
        <v>8.99</v>
      </c>
      <c r="F13" s="6">
        <v>89.9</v>
      </c>
      <c r="G13" s="5" t="s">
        <v>34</v>
      </c>
    </row>
    <row r="14" spans="1:7" x14ac:dyDescent="0.25">
      <c r="A14" s="1">
        <v>25</v>
      </c>
      <c r="B14" s="1" t="s">
        <v>11</v>
      </c>
      <c r="C14" s="8">
        <v>10</v>
      </c>
      <c r="D14" s="1" t="s">
        <v>23</v>
      </c>
      <c r="E14" s="7">
        <v>0.99</v>
      </c>
      <c r="F14" s="6">
        <v>9.9</v>
      </c>
      <c r="G14" s="5" t="s">
        <v>34</v>
      </c>
    </row>
  </sheetData>
  <autoFilter ref="A1:G13" xr:uid="{4F9F6016-7671-4F59-A048-06B144D2FE88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D570-774E-43F3-976F-3A72D7DCFE70}">
  <sheetPr codeName="Planilha3"/>
  <dimension ref="A1:G11"/>
  <sheetViews>
    <sheetView topLeftCell="A2" workbookViewId="0">
      <selection sqref="A1:G11"/>
    </sheetView>
  </sheetViews>
  <sheetFormatPr defaultRowHeight="15" x14ac:dyDescent="0.25"/>
  <sheetData>
    <row r="1" spans="1:7" x14ac:dyDescent="0.25">
      <c r="A1" s="1" t="s">
        <v>0</v>
      </c>
      <c r="B1" s="1" t="s">
        <v>1</v>
      </c>
      <c r="C1" s="8" t="s">
        <v>18</v>
      </c>
      <c r="D1" s="1" t="s">
        <v>19</v>
      </c>
      <c r="E1" s="7" t="s">
        <v>20</v>
      </c>
      <c r="F1" s="6" t="s">
        <v>21</v>
      </c>
      <c r="G1" s="5" t="s">
        <v>22</v>
      </c>
    </row>
    <row r="2" spans="1:7" x14ac:dyDescent="0.25">
      <c r="A2" s="1">
        <v>5</v>
      </c>
      <c r="B2" s="1" t="s">
        <v>7</v>
      </c>
      <c r="C2" s="8">
        <v>10</v>
      </c>
      <c r="D2" s="1" t="s">
        <v>23</v>
      </c>
      <c r="E2" s="7">
        <v>5.99</v>
      </c>
      <c r="F2" s="6">
        <v>59.900000000000006</v>
      </c>
      <c r="G2" s="5" t="s">
        <v>24</v>
      </c>
    </row>
    <row r="3" spans="1:7" x14ac:dyDescent="0.25">
      <c r="A3" s="1">
        <v>8</v>
      </c>
      <c r="B3" s="1" t="s">
        <v>8</v>
      </c>
      <c r="C3" s="8">
        <v>20</v>
      </c>
      <c r="D3" s="1" t="s">
        <v>23</v>
      </c>
      <c r="E3" s="7">
        <v>8.99</v>
      </c>
      <c r="F3" s="6">
        <v>179.8</v>
      </c>
      <c r="G3" s="5" t="s">
        <v>24</v>
      </c>
    </row>
    <row r="4" spans="1:7" x14ac:dyDescent="0.25">
      <c r="A4" s="1">
        <v>10</v>
      </c>
      <c r="B4" s="1" t="s">
        <v>9</v>
      </c>
      <c r="C4" s="8">
        <v>100</v>
      </c>
      <c r="D4" s="1" t="s">
        <v>23</v>
      </c>
      <c r="E4" s="7">
        <v>8.99</v>
      </c>
      <c r="F4" s="6">
        <v>899</v>
      </c>
      <c r="G4" s="5" t="s">
        <v>24</v>
      </c>
    </row>
    <row r="5" spans="1:7" x14ac:dyDescent="0.25">
      <c r="A5" s="1">
        <v>13</v>
      </c>
      <c r="B5" s="1" t="s">
        <v>10</v>
      </c>
      <c r="C5" s="8">
        <v>7</v>
      </c>
      <c r="D5" s="1" t="s">
        <v>23</v>
      </c>
      <c r="E5" s="7">
        <v>19.989999999999998</v>
      </c>
      <c r="F5" s="6">
        <v>139.92999999999998</v>
      </c>
      <c r="G5" s="5" t="s">
        <v>24</v>
      </c>
    </row>
    <row r="6" spans="1:7" x14ac:dyDescent="0.25">
      <c r="A6" s="1">
        <v>14</v>
      </c>
      <c r="B6" s="1" t="s">
        <v>10</v>
      </c>
      <c r="C6" s="8">
        <v>11</v>
      </c>
      <c r="D6" s="1" t="s">
        <v>23</v>
      </c>
      <c r="E6" s="7">
        <v>19.989999999999998</v>
      </c>
      <c r="F6" s="6">
        <v>219.89</v>
      </c>
      <c r="G6" s="5" t="s">
        <v>24</v>
      </c>
    </row>
    <row r="7" spans="1:7" x14ac:dyDescent="0.25">
      <c r="A7" s="1">
        <v>16</v>
      </c>
      <c r="B7" s="1" t="s">
        <v>11</v>
      </c>
      <c r="C7" s="8">
        <v>27</v>
      </c>
      <c r="D7" s="1" t="s">
        <v>23</v>
      </c>
      <c r="E7" s="7">
        <v>0.99</v>
      </c>
      <c r="F7" s="6">
        <v>26.73</v>
      </c>
      <c r="G7" s="5" t="s">
        <v>24</v>
      </c>
    </row>
    <row r="8" spans="1:7" x14ac:dyDescent="0.25">
      <c r="A8" s="1">
        <v>18</v>
      </c>
      <c r="B8" s="1" t="s">
        <v>12</v>
      </c>
      <c r="C8" s="8">
        <v>90</v>
      </c>
      <c r="D8" s="1" t="s">
        <v>23</v>
      </c>
      <c r="E8" s="7">
        <v>3</v>
      </c>
      <c r="F8" s="6">
        <v>270</v>
      </c>
      <c r="G8" s="5" t="s">
        <v>24</v>
      </c>
    </row>
    <row r="9" spans="1:7" x14ac:dyDescent="0.25">
      <c r="A9" s="1">
        <v>21</v>
      </c>
      <c r="B9" s="1" t="s">
        <v>5</v>
      </c>
      <c r="C9" s="8">
        <v>100</v>
      </c>
      <c r="D9" s="1" t="s">
        <v>23</v>
      </c>
      <c r="E9" s="7">
        <v>10</v>
      </c>
      <c r="F9" s="6">
        <v>1000</v>
      </c>
      <c r="G9" s="5" t="s">
        <v>24</v>
      </c>
    </row>
    <row r="10" spans="1:7" x14ac:dyDescent="0.25">
      <c r="A10" s="1">
        <v>22</v>
      </c>
      <c r="B10" s="1" t="s">
        <v>7</v>
      </c>
      <c r="C10" s="8">
        <v>10</v>
      </c>
      <c r="D10" s="1" t="s">
        <v>23</v>
      </c>
      <c r="E10" s="7">
        <v>5.99</v>
      </c>
      <c r="F10" s="6">
        <v>59.900000000000006</v>
      </c>
      <c r="G10" s="5" t="s">
        <v>24</v>
      </c>
    </row>
    <row r="11" spans="1:7" x14ac:dyDescent="0.25">
      <c r="A11" s="1">
        <v>24</v>
      </c>
      <c r="B11" s="1" t="s">
        <v>8</v>
      </c>
      <c r="C11" s="8">
        <v>10</v>
      </c>
      <c r="D11" s="1" t="s">
        <v>23</v>
      </c>
      <c r="E11" s="7">
        <v>8.99</v>
      </c>
      <c r="F11" s="6">
        <v>89.9</v>
      </c>
      <c r="G11" s="5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DA51-326C-4D08-A989-178531BFDAE1}">
  <sheetPr codeName="Planilha4"/>
  <dimension ref="A1:D19"/>
  <sheetViews>
    <sheetView workbookViewId="0">
      <selection activeCell="I7" sqref="I7"/>
    </sheetView>
  </sheetViews>
  <sheetFormatPr defaultRowHeight="15" x14ac:dyDescent="0.25"/>
  <cols>
    <col min="1" max="1" width="14.85546875" style="1" customWidth="1"/>
    <col min="2" max="2" width="9.28515625" style="1" bestFit="1" customWidth="1"/>
    <col min="3" max="3" width="7.7109375" style="1" bestFit="1" customWidth="1"/>
    <col min="4" max="4" width="8.85546875" style="1" bestFit="1" customWidth="1"/>
  </cols>
  <sheetData>
    <row r="1" spans="1:4" x14ac:dyDescent="0.25">
      <c r="A1" s="2" t="s">
        <v>1</v>
      </c>
      <c r="B1" s="1" t="s">
        <v>27</v>
      </c>
      <c r="C1" s="1" t="s">
        <v>28</v>
      </c>
      <c r="D1" s="1" t="s">
        <v>29</v>
      </c>
    </row>
    <row r="2" spans="1:4" x14ac:dyDescent="0.25">
      <c r="A2" s="1" t="s">
        <v>5</v>
      </c>
      <c r="B2" s="1">
        <f>SUMIFS(Registro_Transacao!$C:$C,Registro_Transacao!$B:$B,Estoque!A2,Registro_Transacao!$D:$D,"Compra")</f>
        <v>100</v>
      </c>
      <c r="C2" s="1">
        <f>SUMIFS(Registro_Transacao!$C:$C,Registro_Transacao!$B:$B,Estoque!A2,Registro_Transacao!$D:$D,"Venda")</f>
        <v>0</v>
      </c>
      <c r="D2" s="1">
        <f>SUM(B2-C2)</f>
        <v>100</v>
      </c>
    </row>
    <row r="3" spans="1:4" x14ac:dyDescent="0.25">
      <c r="A3" s="1" t="s">
        <v>7</v>
      </c>
      <c r="B3" s="1">
        <f>SUMIFS(Registro_Transacao!$C:$C,Registro_Transacao!$B:$B,Estoque!A3,Registro_Transacao!$D:$D,"Compra")</f>
        <v>20</v>
      </c>
      <c r="C3" s="1">
        <f>SUMIFS(Registro_Transacao!$C:$C,Registro_Transacao!$B:$B,Estoque!A3,Registro_Transacao!$D:$D,"Venda")</f>
        <v>1</v>
      </c>
      <c r="D3" s="1">
        <f t="shared" ref="D3:D13" si="0">SUM(B3-C3)</f>
        <v>19</v>
      </c>
    </row>
    <row r="4" spans="1:4" x14ac:dyDescent="0.25">
      <c r="A4" s="1" t="s">
        <v>8</v>
      </c>
      <c r="B4" s="1">
        <f>SUMIFS(Registro_Transacao!$C:$C,Registro_Transacao!$B:$B,Estoque!A4,Registro_Transacao!$D:$D,"Compra")</f>
        <v>30</v>
      </c>
      <c r="C4" s="1">
        <f>SUMIFS(Registro_Transacao!$C:$C,Registro_Transacao!$B:$B,Estoque!A4,Registro_Transacao!$D:$D,"Venda")</f>
        <v>0</v>
      </c>
      <c r="D4" s="1">
        <f t="shared" si="0"/>
        <v>30</v>
      </c>
    </row>
    <row r="5" spans="1:4" x14ac:dyDescent="0.25">
      <c r="A5" s="1" t="s">
        <v>9</v>
      </c>
      <c r="B5" s="1">
        <f>SUMIFS(Registro_Transacao!$C:$C,Registro_Transacao!$B:$B,Estoque!A5,Registro_Transacao!$D:$D,"Compra")</f>
        <v>0</v>
      </c>
      <c r="C5" s="1">
        <f>SUMIFS(Registro_Transacao!$C:$C,Registro_Transacao!$B:$B,Estoque!A5,Registro_Transacao!$D:$D,"Venda")</f>
        <v>0</v>
      </c>
      <c r="D5" s="1">
        <f t="shared" si="0"/>
        <v>0</v>
      </c>
    </row>
    <row r="6" spans="1:4" x14ac:dyDescent="0.25">
      <c r="A6" s="1" t="s">
        <v>10</v>
      </c>
      <c r="B6" s="1">
        <f>SUMIFS(Registro_Transacao!$C:$C,Registro_Transacao!$B:$B,Estoque!A6,Registro_Transacao!$D:$D,"Compra")</f>
        <v>11</v>
      </c>
      <c r="C6" s="1">
        <f>SUMIFS(Registro_Transacao!$C:$C,Registro_Transacao!$B:$B,Estoque!A6,Registro_Transacao!$D:$D,"Venda")</f>
        <v>9</v>
      </c>
      <c r="D6" s="1">
        <f t="shared" si="0"/>
        <v>2</v>
      </c>
    </row>
    <row r="7" spans="1:4" x14ac:dyDescent="0.25">
      <c r="A7" s="1" t="s">
        <v>11</v>
      </c>
      <c r="B7" s="1">
        <f>SUMIFS(Registro_Transacao!$C:$C,Registro_Transacao!$B:$B,Estoque!A7,Registro_Transacao!$D:$D,"Compra")</f>
        <v>37</v>
      </c>
      <c r="C7" s="1">
        <f>SUMIFS(Registro_Transacao!$C:$C,Registro_Transacao!$B:$B,Estoque!A7,Registro_Transacao!$D:$D,"Venda")</f>
        <v>3</v>
      </c>
      <c r="D7" s="1">
        <f t="shared" si="0"/>
        <v>34</v>
      </c>
    </row>
    <row r="8" spans="1:4" x14ac:dyDescent="0.25">
      <c r="A8" s="1" t="s">
        <v>12</v>
      </c>
      <c r="B8" s="1">
        <f>SUMIFS(Registro_Transacao!$C:$C,Registro_Transacao!$B:$B,Estoque!A8,Registro_Transacao!$D:$D,"Compra")</f>
        <v>90</v>
      </c>
      <c r="C8" s="1">
        <f>SUMIFS(Registro_Transacao!$C:$C,Registro_Transacao!$B:$B,Estoque!A8,Registro_Transacao!$D:$D,"Venda")</f>
        <v>20</v>
      </c>
      <c r="D8" s="1">
        <f t="shared" si="0"/>
        <v>70</v>
      </c>
    </row>
    <row r="9" spans="1:4" x14ac:dyDescent="0.25">
      <c r="A9" s="1" t="s">
        <v>13</v>
      </c>
      <c r="B9" s="1">
        <f>SUMIFS(Registro_Transacao!$C:$C,Registro_Transacao!$B:$B,Estoque!A9,Registro_Transacao!$D:$D,"Compra")</f>
        <v>0</v>
      </c>
      <c r="C9" s="1">
        <f>SUMIFS(Registro_Transacao!$C:$C,Registro_Transacao!$B:$B,Estoque!A9,Registro_Transacao!$D:$D,"Venda")</f>
        <v>0</v>
      </c>
      <c r="D9" s="1">
        <f t="shared" si="0"/>
        <v>0</v>
      </c>
    </row>
    <row r="10" spans="1:4" x14ac:dyDescent="0.25">
      <c r="A10" s="1" t="s">
        <v>14</v>
      </c>
      <c r="B10" s="1">
        <f>SUMIFS(Registro_Transacao!$C:$C,Registro_Transacao!$B:$B,Estoque!A10,Registro_Transacao!$D:$D,"Compra")</f>
        <v>0</v>
      </c>
      <c r="C10" s="1">
        <f>SUMIFS(Registro_Transacao!$C:$C,Registro_Transacao!$B:$B,Estoque!A10,Registro_Transacao!$D:$D,"Venda")</f>
        <v>0</v>
      </c>
      <c r="D10" s="1">
        <f t="shared" si="0"/>
        <v>0</v>
      </c>
    </row>
    <row r="11" spans="1:4" x14ac:dyDescent="0.25">
      <c r="A11" s="1" t="s">
        <v>15</v>
      </c>
      <c r="B11" s="1">
        <f>SUMIFS(Registro_Transacao!$C:$C,Registro_Transacao!$B:$B,Estoque!A11,Registro_Transacao!$D:$D,"Compra")</f>
        <v>0</v>
      </c>
      <c r="C11" s="1">
        <f>SUMIFS(Registro_Transacao!$C:$C,Registro_Transacao!$B:$B,Estoque!A11,Registro_Transacao!$D:$D,"Venda")</f>
        <v>0</v>
      </c>
      <c r="D11" s="1">
        <f t="shared" si="0"/>
        <v>0</v>
      </c>
    </row>
    <row r="12" spans="1:4" x14ac:dyDescent="0.25">
      <c r="A12" s="1" t="s">
        <v>16</v>
      </c>
      <c r="B12" s="1">
        <f>SUMIFS(Registro_Transacao!$C:$C,Registro_Transacao!$B:$B,Estoque!A12,Registro_Transacao!$D:$D,"Compra")</f>
        <v>0</v>
      </c>
      <c r="C12" s="1">
        <f>SUMIFS(Registro_Transacao!$C:$C,Registro_Transacao!$B:$B,Estoque!A12,Registro_Transacao!$D:$D,"Venda")</f>
        <v>0</v>
      </c>
      <c r="D12" s="1">
        <f t="shared" si="0"/>
        <v>0</v>
      </c>
    </row>
    <row r="13" spans="1:4" x14ac:dyDescent="0.25">
      <c r="A13" s="1" t="s">
        <v>17</v>
      </c>
      <c r="B13" s="1">
        <f>SUMIFS(Registro_Transacao!$C:$C,Registro_Transacao!$B:$B,Estoque!A13,Registro_Transacao!$D:$D,"Compra")</f>
        <v>0</v>
      </c>
      <c r="C13" s="1">
        <f>SUMIFS(Registro_Transacao!$C:$C,Registro_Transacao!$B:$B,Estoque!A13,Registro_Transacao!$D:$D,"Venda")</f>
        <v>0</v>
      </c>
      <c r="D13" s="1">
        <f t="shared" si="0"/>
        <v>0</v>
      </c>
    </row>
    <row r="14" spans="1:4" x14ac:dyDescent="0.25">
      <c r="A14" s="1" t="s">
        <v>35</v>
      </c>
      <c r="B14"/>
      <c r="C14"/>
      <c r="D14"/>
    </row>
    <row r="15" spans="1:4" x14ac:dyDescent="0.25">
      <c r="A15" s="1" t="s">
        <v>36</v>
      </c>
      <c r="B15"/>
      <c r="C15"/>
      <c r="D15"/>
    </row>
    <row r="16" spans="1:4" x14ac:dyDescent="0.25">
      <c r="B16"/>
      <c r="C16"/>
      <c r="D16"/>
    </row>
    <row r="17" spans="2:4" x14ac:dyDescent="0.25">
      <c r="B17"/>
      <c r="C17"/>
      <c r="D17"/>
    </row>
    <row r="18" spans="2:4" x14ac:dyDescent="0.25">
      <c r="B18"/>
      <c r="C18"/>
      <c r="D18"/>
    </row>
    <row r="19" spans="2:4" x14ac:dyDescent="0.25">
      <c r="B19"/>
      <c r="C19"/>
      <c r="D1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F43EF-B959-41B9-9CAD-A2640F1522B7}">
  <sheetPr codeName="Planilha5"/>
  <dimension ref="A1:D15"/>
  <sheetViews>
    <sheetView workbookViewId="0">
      <selection sqref="A1:D19"/>
    </sheetView>
  </sheetViews>
  <sheetFormatPr defaultRowHeight="15" x14ac:dyDescent="0.25"/>
  <cols>
    <col min="1" max="1" width="9.7109375" style="9" customWidth="1"/>
    <col min="2" max="4" width="8.85546875" style="9"/>
  </cols>
  <sheetData>
    <row r="1" spans="1:4" x14ac:dyDescent="0.25">
      <c r="A1" t="s">
        <v>1</v>
      </c>
      <c r="B1" t="s">
        <v>27</v>
      </c>
      <c r="C1" t="s">
        <v>28</v>
      </c>
      <c r="D1" t="s">
        <v>29</v>
      </c>
    </row>
    <row r="2" spans="1:4" x14ac:dyDescent="0.25">
      <c r="A2" t="s">
        <v>5</v>
      </c>
      <c r="B2">
        <v>100</v>
      </c>
      <c r="C2">
        <v>0</v>
      </c>
      <c r="D2">
        <v>100</v>
      </c>
    </row>
    <row r="3" spans="1:4" x14ac:dyDescent="0.25">
      <c r="A3" t="s">
        <v>7</v>
      </c>
      <c r="B3">
        <v>20</v>
      </c>
      <c r="C3">
        <v>1</v>
      </c>
      <c r="D3">
        <v>19</v>
      </c>
    </row>
    <row r="4" spans="1:4" x14ac:dyDescent="0.25">
      <c r="A4" t="s">
        <v>8</v>
      </c>
      <c r="B4">
        <v>30</v>
      </c>
      <c r="C4">
        <v>0</v>
      </c>
      <c r="D4">
        <v>30</v>
      </c>
    </row>
    <row r="5" spans="1:4" x14ac:dyDescent="0.25">
      <c r="A5" t="s">
        <v>9</v>
      </c>
      <c r="B5">
        <v>0</v>
      </c>
      <c r="C5">
        <v>0</v>
      </c>
      <c r="D5">
        <v>0</v>
      </c>
    </row>
    <row r="6" spans="1:4" x14ac:dyDescent="0.25">
      <c r="A6" t="s">
        <v>10</v>
      </c>
      <c r="B6">
        <v>11</v>
      </c>
      <c r="C6">
        <v>9</v>
      </c>
      <c r="D6">
        <v>2</v>
      </c>
    </row>
    <row r="7" spans="1:4" x14ac:dyDescent="0.25">
      <c r="A7" t="s">
        <v>11</v>
      </c>
      <c r="B7">
        <v>37</v>
      </c>
      <c r="C7">
        <v>3</v>
      </c>
      <c r="D7">
        <v>34</v>
      </c>
    </row>
    <row r="8" spans="1:4" x14ac:dyDescent="0.25">
      <c r="A8" t="s">
        <v>12</v>
      </c>
      <c r="B8">
        <v>90</v>
      </c>
      <c r="C8">
        <v>20</v>
      </c>
      <c r="D8">
        <v>70</v>
      </c>
    </row>
    <row r="9" spans="1:4" x14ac:dyDescent="0.25">
      <c r="A9" t="s">
        <v>13</v>
      </c>
      <c r="B9">
        <v>0</v>
      </c>
      <c r="C9">
        <v>0</v>
      </c>
      <c r="D9">
        <v>0</v>
      </c>
    </row>
    <row r="10" spans="1:4" x14ac:dyDescent="0.25">
      <c r="A10" t="s">
        <v>14</v>
      </c>
      <c r="B10">
        <v>0</v>
      </c>
      <c r="C10">
        <v>0</v>
      </c>
      <c r="D10">
        <v>0</v>
      </c>
    </row>
    <row r="11" spans="1:4" x14ac:dyDescent="0.25">
      <c r="A11" t="s">
        <v>15</v>
      </c>
      <c r="B11">
        <v>0</v>
      </c>
      <c r="C11">
        <v>0</v>
      </c>
      <c r="D11">
        <v>0</v>
      </c>
    </row>
    <row r="12" spans="1:4" x14ac:dyDescent="0.25">
      <c r="A12" t="s">
        <v>16</v>
      </c>
      <c r="B12">
        <v>0</v>
      </c>
      <c r="C12">
        <v>0</v>
      </c>
      <c r="D12">
        <v>0</v>
      </c>
    </row>
    <row r="13" spans="1:4" x14ac:dyDescent="0.25">
      <c r="A13" t="s">
        <v>17</v>
      </c>
      <c r="B13">
        <v>0</v>
      </c>
      <c r="C13">
        <v>0</v>
      </c>
      <c r="D13">
        <v>0</v>
      </c>
    </row>
    <row r="14" spans="1:4" x14ac:dyDescent="0.25">
      <c r="A14" t="s">
        <v>35</v>
      </c>
      <c r="B14"/>
      <c r="C14"/>
      <c r="D14"/>
    </row>
    <row r="15" spans="1:4" x14ac:dyDescent="0.25">
      <c r="A15" t="s">
        <v>36</v>
      </c>
      <c r="B15"/>
      <c r="C15"/>
      <c r="D1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988D-BA62-4A96-822C-214256CC3989}">
  <sheetPr codeName="Planilha8"/>
  <dimension ref="A1:G48"/>
  <sheetViews>
    <sheetView showGridLines="0" workbookViewId="0">
      <selection activeCell="B36" sqref="B36:E54"/>
    </sheetView>
  </sheetViews>
  <sheetFormatPr defaultRowHeight="15" x14ac:dyDescent="0.25"/>
  <cols>
    <col min="1" max="1" width="3" style="9" bestFit="1" customWidth="1"/>
    <col min="2" max="2" width="9.5703125" style="9" bestFit="1" customWidth="1"/>
    <col min="3" max="3" width="12.28515625" style="9" bestFit="1" customWidth="1"/>
    <col min="4" max="4" width="9.7109375" style="9" bestFit="1" customWidth="1"/>
    <col min="5" max="5" width="8.85546875" style="9"/>
    <col min="6" max="6" width="35.7109375" style="9" bestFit="1" customWidth="1"/>
    <col min="7" max="7" width="10.5703125" style="9" bestFit="1" customWidth="1"/>
  </cols>
  <sheetData>
    <row r="1" spans="1:7" ht="21" x14ac:dyDescent="0.35">
      <c r="A1" s="11" t="s">
        <v>30</v>
      </c>
      <c r="B1" s="11"/>
      <c r="C1" s="11"/>
      <c r="D1" s="11"/>
      <c r="E1" s="11"/>
      <c r="F1" s="11"/>
      <c r="G1" s="11"/>
    </row>
    <row r="3" spans="1:7" x14ac:dyDescent="0.25">
      <c r="A3" s="2" t="s">
        <v>0</v>
      </c>
      <c r="B3" s="2" t="s">
        <v>1</v>
      </c>
      <c r="C3" s="4" t="s">
        <v>2</v>
      </c>
      <c r="D3" s="4" t="s">
        <v>3</v>
      </c>
      <c r="E3"/>
      <c r="F3" t="s">
        <v>4</v>
      </c>
    </row>
    <row r="4" spans="1:7" x14ac:dyDescent="0.25">
      <c r="A4" s="1">
        <v>1</v>
      </c>
      <c r="B4" s="1" t="s">
        <v>5</v>
      </c>
      <c r="C4" s="3">
        <v>10</v>
      </c>
      <c r="D4" s="3">
        <v>20</v>
      </c>
      <c r="E4"/>
      <c r="F4" t="s">
        <v>6</v>
      </c>
    </row>
    <row r="5" spans="1:7" x14ac:dyDescent="0.25">
      <c r="A5" s="1">
        <v>2</v>
      </c>
      <c r="B5" s="1" t="s">
        <v>7</v>
      </c>
      <c r="C5" s="3">
        <v>5.99</v>
      </c>
      <c r="D5" s="3">
        <v>7.99</v>
      </c>
      <c r="E5"/>
      <c r="F5"/>
    </row>
    <row r="6" spans="1:7" x14ac:dyDescent="0.25">
      <c r="A6" s="1">
        <v>3</v>
      </c>
      <c r="B6" s="1" t="s">
        <v>8</v>
      </c>
      <c r="C6" s="3">
        <v>8.99</v>
      </c>
      <c r="D6" s="3">
        <v>11.99</v>
      </c>
      <c r="E6"/>
      <c r="F6"/>
    </row>
    <row r="7" spans="1:7" x14ac:dyDescent="0.25">
      <c r="A7" s="1">
        <v>4</v>
      </c>
      <c r="B7" s="1" t="s">
        <v>9</v>
      </c>
      <c r="C7" s="3">
        <v>8.99</v>
      </c>
      <c r="D7" s="3">
        <v>11.99</v>
      </c>
      <c r="E7"/>
      <c r="F7"/>
    </row>
    <row r="8" spans="1:7" x14ac:dyDescent="0.25">
      <c r="A8" s="1">
        <v>5</v>
      </c>
      <c r="B8" s="1" t="s">
        <v>10</v>
      </c>
      <c r="C8" s="3">
        <v>19.989999999999998</v>
      </c>
      <c r="D8" s="3">
        <v>30</v>
      </c>
      <c r="E8"/>
      <c r="F8"/>
    </row>
    <row r="9" spans="1:7" x14ac:dyDescent="0.25">
      <c r="A9" s="1">
        <v>6</v>
      </c>
      <c r="B9" s="1" t="s">
        <v>11</v>
      </c>
      <c r="C9" s="3">
        <v>0.99</v>
      </c>
      <c r="D9" s="3">
        <v>3.99</v>
      </c>
      <c r="E9"/>
      <c r="F9"/>
    </row>
    <row r="10" spans="1:7" x14ac:dyDescent="0.25">
      <c r="A10" s="1">
        <v>7</v>
      </c>
      <c r="B10" s="1" t="s">
        <v>12</v>
      </c>
      <c r="C10" s="3">
        <v>3</v>
      </c>
      <c r="D10" s="3">
        <v>7</v>
      </c>
      <c r="E10"/>
      <c r="F10"/>
    </row>
    <row r="11" spans="1:7" x14ac:dyDescent="0.25">
      <c r="A11" s="1">
        <v>8</v>
      </c>
      <c r="B11" s="1" t="s">
        <v>13</v>
      </c>
      <c r="C11" s="3">
        <v>8.99</v>
      </c>
      <c r="D11" s="3">
        <v>11.99</v>
      </c>
      <c r="E11"/>
      <c r="F11"/>
    </row>
    <row r="12" spans="1:7" x14ac:dyDescent="0.25">
      <c r="A12" s="1">
        <v>9</v>
      </c>
      <c r="B12" s="1" t="s">
        <v>14</v>
      </c>
      <c r="C12" s="3">
        <v>50</v>
      </c>
      <c r="D12" s="3">
        <v>55</v>
      </c>
      <c r="E12"/>
      <c r="F12"/>
    </row>
    <row r="13" spans="1:7" x14ac:dyDescent="0.25">
      <c r="A13" s="1">
        <v>10</v>
      </c>
      <c r="B13" s="1" t="s">
        <v>15</v>
      </c>
      <c r="C13" s="3">
        <v>1</v>
      </c>
      <c r="D13" s="3">
        <v>3</v>
      </c>
      <c r="E13"/>
      <c r="F13"/>
    </row>
    <row r="14" spans="1:7" x14ac:dyDescent="0.25">
      <c r="A14" s="1">
        <v>12</v>
      </c>
      <c r="B14" s="1" t="s">
        <v>16</v>
      </c>
      <c r="C14" s="3">
        <v>100</v>
      </c>
      <c r="D14" s="3">
        <v>145</v>
      </c>
      <c r="E14"/>
      <c r="F14"/>
    </row>
    <row r="15" spans="1:7" x14ac:dyDescent="0.25">
      <c r="A15" s="1">
        <v>13</v>
      </c>
      <c r="B15" s="1" t="s">
        <v>17</v>
      </c>
      <c r="C15" s="3">
        <v>1</v>
      </c>
      <c r="D15" s="3">
        <v>3</v>
      </c>
      <c r="E15"/>
      <c r="F15"/>
    </row>
    <row r="17" spans="1:7" ht="21" x14ac:dyDescent="0.35">
      <c r="A17" s="11" t="s">
        <v>31</v>
      </c>
      <c r="B17" s="11"/>
      <c r="C17" s="11"/>
      <c r="D17" s="11"/>
      <c r="E17" s="11"/>
      <c r="F17" s="11"/>
      <c r="G17" s="11"/>
    </row>
    <row r="19" spans="1:7" x14ac:dyDescent="0.25">
      <c r="A19" s="1" t="s">
        <v>0</v>
      </c>
      <c r="B19" s="1" t="s">
        <v>1</v>
      </c>
      <c r="C19" s="8" t="s">
        <v>18</v>
      </c>
      <c r="D19" s="1" t="s">
        <v>19</v>
      </c>
      <c r="E19" s="7" t="s">
        <v>20</v>
      </c>
      <c r="F19" s="6" t="s">
        <v>21</v>
      </c>
      <c r="G19" s="5" t="s">
        <v>22</v>
      </c>
    </row>
    <row r="20" spans="1:7" x14ac:dyDescent="0.25">
      <c r="A20" s="1">
        <v>5</v>
      </c>
      <c r="B20" s="1" t="s">
        <v>7</v>
      </c>
      <c r="C20" s="8">
        <v>10</v>
      </c>
      <c r="D20" s="1" t="s">
        <v>23</v>
      </c>
      <c r="E20" s="7">
        <v>5.99</v>
      </c>
      <c r="F20" s="6">
        <v>59.900000000000006</v>
      </c>
      <c r="G20" s="5" t="s">
        <v>24</v>
      </c>
    </row>
    <row r="21" spans="1:7" x14ac:dyDescent="0.25">
      <c r="A21" s="1">
        <v>8</v>
      </c>
      <c r="B21" s="1" t="s">
        <v>8</v>
      </c>
      <c r="C21" s="8">
        <v>20</v>
      </c>
      <c r="D21" s="1" t="s">
        <v>23</v>
      </c>
      <c r="E21" s="7">
        <v>8.99</v>
      </c>
      <c r="F21" s="6">
        <v>179.8</v>
      </c>
      <c r="G21" s="5" t="s">
        <v>24</v>
      </c>
    </row>
    <row r="22" spans="1:7" x14ac:dyDescent="0.25">
      <c r="A22" s="1">
        <v>10</v>
      </c>
      <c r="B22" s="1" t="s">
        <v>9</v>
      </c>
      <c r="C22" s="8">
        <v>100</v>
      </c>
      <c r="D22" s="1" t="s">
        <v>23</v>
      </c>
      <c r="E22" s="7">
        <v>8.99</v>
      </c>
      <c r="F22" s="6">
        <v>899</v>
      </c>
      <c r="G22" s="5" t="s">
        <v>24</v>
      </c>
    </row>
    <row r="23" spans="1:7" x14ac:dyDescent="0.25">
      <c r="A23" s="1">
        <v>12</v>
      </c>
      <c r="B23" s="1" t="s">
        <v>9</v>
      </c>
      <c r="C23" s="8">
        <v>30</v>
      </c>
      <c r="D23" s="1" t="s">
        <v>25</v>
      </c>
      <c r="E23" s="7">
        <v>11.99</v>
      </c>
      <c r="F23" s="6">
        <v>359.7</v>
      </c>
      <c r="G23" s="5" t="s">
        <v>24</v>
      </c>
    </row>
    <row r="24" spans="1:7" x14ac:dyDescent="0.25">
      <c r="A24" s="1">
        <v>13</v>
      </c>
      <c r="B24" s="1" t="s">
        <v>10</v>
      </c>
      <c r="C24" s="8">
        <v>7</v>
      </c>
      <c r="D24" s="1" t="s">
        <v>23</v>
      </c>
      <c r="E24" s="7">
        <v>19.989999999999998</v>
      </c>
      <c r="F24" s="6">
        <v>139.92999999999998</v>
      </c>
      <c r="G24" s="5" t="s">
        <v>24</v>
      </c>
    </row>
    <row r="25" spans="1:7" x14ac:dyDescent="0.25">
      <c r="A25" s="1">
        <v>14</v>
      </c>
      <c r="B25" s="1" t="s">
        <v>10</v>
      </c>
      <c r="C25" s="8">
        <v>11</v>
      </c>
      <c r="D25" s="1" t="s">
        <v>23</v>
      </c>
      <c r="E25" s="7">
        <v>19.989999999999998</v>
      </c>
      <c r="F25" s="6">
        <v>219.89</v>
      </c>
      <c r="G25" s="5" t="s">
        <v>24</v>
      </c>
    </row>
    <row r="26" spans="1:7" x14ac:dyDescent="0.25">
      <c r="A26" s="1">
        <v>15</v>
      </c>
      <c r="B26" s="1" t="s">
        <v>10</v>
      </c>
      <c r="C26" s="8">
        <v>9</v>
      </c>
      <c r="D26" s="1" t="s">
        <v>25</v>
      </c>
      <c r="E26" s="7">
        <v>30</v>
      </c>
      <c r="F26" s="6">
        <v>270</v>
      </c>
      <c r="G26" s="5" t="s">
        <v>24</v>
      </c>
    </row>
    <row r="27" spans="1:7" x14ac:dyDescent="0.25">
      <c r="A27" s="1">
        <v>16</v>
      </c>
      <c r="B27" s="1" t="s">
        <v>11</v>
      </c>
      <c r="C27" s="8">
        <v>27</v>
      </c>
      <c r="D27" s="1" t="s">
        <v>23</v>
      </c>
      <c r="E27" s="7">
        <v>0.99</v>
      </c>
      <c r="F27" s="6">
        <v>26.73</v>
      </c>
      <c r="G27" s="5" t="s">
        <v>24</v>
      </c>
    </row>
    <row r="28" spans="1:7" x14ac:dyDescent="0.25">
      <c r="A28" s="1">
        <v>17</v>
      </c>
      <c r="B28" s="1" t="s">
        <v>11</v>
      </c>
      <c r="C28" s="8">
        <v>3</v>
      </c>
      <c r="D28" s="1" t="s">
        <v>25</v>
      </c>
      <c r="E28" s="7">
        <v>3.99</v>
      </c>
      <c r="F28" s="6">
        <v>11.97</v>
      </c>
      <c r="G28" s="5" t="s">
        <v>26</v>
      </c>
    </row>
    <row r="29" spans="1:7" x14ac:dyDescent="0.25">
      <c r="A29" s="1">
        <v>18</v>
      </c>
      <c r="B29" s="1" t="s">
        <v>12</v>
      </c>
      <c r="C29" s="8">
        <v>90</v>
      </c>
      <c r="D29" s="1" t="s">
        <v>23</v>
      </c>
      <c r="E29" s="7">
        <v>3</v>
      </c>
      <c r="F29" s="6">
        <v>270</v>
      </c>
      <c r="G29" s="5" t="s">
        <v>24</v>
      </c>
    </row>
    <row r="30" spans="1:7" x14ac:dyDescent="0.25">
      <c r="A30" s="1">
        <v>20</v>
      </c>
      <c r="B30" s="1" t="s">
        <v>12</v>
      </c>
      <c r="C30" s="8">
        <v>20</v>
      </c>
      <c r="D30" s="1" t="s">
        <v>25</v>
      </c>
      <c r="E30" s="7">
        <v>7</v>
      </c>
      <c r="F30" s="6">
        <v>140</v>
      </c>
      <c r="G30" s="5" t="s">
        <v>24</v>
      </c>
    </row>
    <row r="31" spans="1:7" x14ac:dyDescent="0.25">
      <c r="A31" s="1">
        <v>21</v>
      </c>
      <c r="B31" s="1" t="s">
        <v>5</v>
      </c>
      <c r="C31" s="8">
        <v>100</v>
      </c>
      <c r="D31" s="1" t="s">
        <v>23</v>
      </c>
      <c r="E31" s="7">
        <v>10</v>
      </c>
      <c r="F31" s="6">
        <v>1000</v>
      </c>
      <c r="G31" s="5" t="s">
        <v>24</v>
      </c>
    </row>
    <row r="32" spans="1:7" x14ac:dyDescent="0.25">
      <c r="A32" s="1">
        <v>22</v>
      </c>
      <c r="B32" s="1" t="s">
        <v>7</v>
      </c>
      <c r="C32" s="8">
        <v>10</v>
      </c>
      <c r="D32" s="1" t="s">
        <v>23</v>
      </c>
      <c r="E32" s="7">
        <v>5.99</v>
      </c>
      <c r="F32" s="6">
        <v>59.900000000000006</v>
      </c>
      <c r="G32" s="5" t="s">
        <v>24</v>
      </c>
    </row>
    <row r="34" spans="1:5" ht="21" x14ac:dyDescent="0.35">
      <c r="A34" s="11" t="s">
        <v>32</v>
      </c>
      <c r="B34" s="11"/>
      <c r="C34" s="11"/>
      <c r="D34" s="11"/>
    </row>
    <row r="36" spans="1:5" x14ac:dyDescent="0.25">
      <c r="B36" s="9" t="s">
        <v>1</v>
      </c>
      <c r="C36" s="9" t="s">
        <v>27</v>
      </c>
      <c r="D36" s="9" t="s">
        <v>28</v>
      </c>
      <c r="E36" s="9" t="s">
        <v>29</v>
      </c>
    </row>
    <row r="37" spans="1:5" x14ac:dyDescent="0.25">
      <c r="B37" s="9" t="s">
        <v>5</v>
      </c>
      <c r="C37" s="9">
        <v>100</v>
      </c>
      <c r="D37" s="9">
        <v>0</v>
      </c>
      <c r="E37" s="9">
        <v>100</v>
      </c>
    </row>
    <row r="38" spans="1:5" x14ac:dyDescent="0.25">
      <c r="B38" s="9" t="s">
        <v>7</v>
      </c>
      <c r="C38" s="9">
        <v>20</v>
      </c>
      <c r="D38" s="9">
        <v>0</v>
      </c>
      <c r="E38" s="9">
        <v>20</v>
      </c>
    </row>
    <row r="39" spans="1:5" x14ac:dyDescent="0.25">
      <c r="B39" s="9" t="s">
        <v>8</v>
      </c>
      <c r="C39" s="9">
        <v>20</v>
      </c>
      <c r="D39" s="9">
        <v>0</v>
      </c>
      <c r="E39" s="9">
        <v>20</v>
      </c>
    </row>
    <row r="40" spans="1:5" x14ac:dyDescent="0.25">
      <c r="B40" s="9" t="s">
        <v>9</v>
      </c>
      <c r="C40" s="9">
        <v>100</v>
      </c>
      <c r="D40" s="9">
        <v>30</v>
      </c>
      <c r="E40" s="9">
        <v>70</v>
      </c>
    </row>
    <row r="41" spans="1:5" x14ac:dyDescent="0.25">
      <c r="B41" s="9" t="s">
        <v>10</v>
      </c>
      <c r="C41" s="9">
        <v>18</v>
      </c>
      <c r="D41" s="9">
        <v>9</v>
      </c>
      <c r="E41" s="9">
        <v>9</v>
      </c>
    </row>
    <row r="42" spans="1:5" x14ac:dyDescent="0.25">
      <c r="B42" s="9" t="s">
        <v>11</v>
      </c>
      <c r="C42" s="9">
        <v>27</v>
      </c>
      <c r="D42" s="9">
        <v>3</v>
      </c>
      <c r="E42" s="9">
        <v>24</v>
      </c>
    </row>
    <row r="43" spans="1:5" x14ac:dyDescent="0.25">
      <c r="B43" s="9" t="s">
        <v>12</v>
      </c>
      <c r="C43" s="9">
        <v>90</v>
      </c>
      <c r="D43" s="9">
        <v>20</v>
      </c>
      <c r="E43" s="9">
        <v>70</v>
      </c>
    </row>
    <row r="44" spans="1:5" x14ac:dyDescent="0.25">
      <c r="B44" s="9" t="s">
        <v>13</v>
      </c>
      <c r="C44" s="9">
        <v>0</v>
      </c>
      <c r="D44" s="9">
        <v>0</v>
      </c>
      <c r="E44" s="9">
        <v>0</v>
      </c>
    </row>
    <row r="45" spans="1:5" x14ac:dyDescent="0.25">
      <c r="B45" s="9" t="s">
        <v>14</v>
      </c>
      <c r="C45" s="9">
        <v>0</v>
      </c>
      <c r="D45" s="9">
        <v>0</v>
      </c>
      <c r="E45" s="9">
        <v>0</v>
      </c>
    </row>
    <row r="46" spans="1:5" x14ac:dyDescent="0.25">
      <c r="B46" s="9" t="s">
        <v>15</v>
      </c>
      <c r="C46" s="9">
        <v>0</v>
      </c>
      <c r="D46" s="9">
        <v>0</v>
      </c>
      <c r="E46" s="9">
        <v>0</v>
      </c>
    </row>
    <row r="47" spans="1:5" x14ac:dyDescent="0.25">
      <c r="B47" s="9" t="s">
        <v>16</v>
      </c>
      <c r="C47" s="9">
        <v>0</v>
      </c>
      <c r="D47" s="9">
        <v>0</v>
      </c>
      <c r="E47" s="9">
        <v>0</v>
      </c>
    </row>
    <row r="48" spans="1:5" x14ac:dyDescent="0.25">
      <c r="B48" s="9" t="s">
        <v>17</v>
      </c>
      <c r="C48" s="9">
        <v>0</v>
      </c>
      <c r="D48" s="9">
        <v>0</v>
      </c>
      <c r="E48" s="9">
        <v>0</v>
      </c>
    </row>
  </sheetData>
  <mergeCells count="3">
    <mergeCell ref="A1:G1"/>
    <mergeCell ref="A17:G17"/>
    <mergeCell ref="A34:D3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Menu Principal</vt:lpstr>
      <vt:lpstr>ControleDeProdutos</vt:lpstr>
      <vt:lpstr>Registro_Transacao</vt:lpstr>
      <vt:lpstr>Filtro_Transacao</vt:lpstr>
      <vt:lpstr>Estoque</vt:lpstr>
      <vt:lpstr>Filtro_Estoque</vt:lpstr>
      <vt:lpstr>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GABRIEL NEVES BUENO</dc:creator>
  <cp:keywords/>
  <dc:description/>
  <cp:lastModifiedBy>José Gabriel Neves Bueno</cp:lastModifiedBy>
  <cp:revision/>
  <dcterms:created xsi:type="dcterms:W3CDTF">2022-06-06T23:50:55Z</dcterms:created>
  <dcterms:modified xsi:type="dcterms:W3CDTF">2024-02-15T19:02:54Z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0459ad-4eb7-43ee-b2e0-a4f39d08f16c_Enabled">
    <vt:lpwstr>true</vt:lpwstr>
  </property>
  <property fmtid="{D5CDD505-2E9C-101B-9397-08002B2CF9AE}" pid="3" name="MSIP_Label_ad0459ad-4eb7-43ee-b2e0-a4f39d08f16c_SetDate">
    <vt:lpwstr>2022-06-06T23:51:00Z</vt:lpwstr>
  </property>
  <property fmtid="{D5CDD505-2E9C-101B-9397-08002B2CF9AE}" pid="4" name="MSIP_Label_ad0459ad-4eb7-43ee-b2e0-a4f39d08f16c_Method">
    <vt:lpwstr>Standard</vt:lpwstr>
  </property>
  <property fmtid="{D5CDD505-2E9C-101B-9397-08002B2CF9AE}" pid="5" name="MSIP_Label_ad0459ad-4eb7-43ee-b2e0-a4f39d08f16c_Name">
    <vt:lpwstr>Private</vt:lpwstr>
  </property>
  <property fmtid="{D5CDD505-2E9C-101B-9397-08002B2CF9AE}" pid="6" name="MSIP_Label_ad0459ad-4eb7-43ee-b2e0-a4f39d08f16c_SiteId">
    <vt:lpwstr>1b5ba8a2-315d-45ce-959a-42b748c01de7</vt:lpwstr>
  </property>
  <property fmtid="{D5CDD505-2E9C-101B-9397-08002B2CF9AE}" pid="7" name="MSIP_Label_ad0459ad-4eb7-43ee-b2e0-a4f39d08f16c_ActionId">
    <vt:lpwstr>72477c03-334e-4bb3-858e-40ae80df986e</vt:lpwstr>
  </property>
  <property fmtid="{D5CDD505-2E9C-101B-9397-08002B2CF9AE}" pid="8" name="MSIP_Label_ad0459ad-4eb7-43ee-b2e0-a4f39d08f16c_ContentBits">
    <vt:lpwstr>0</vt:lpwstr>
  </property>
</Properties>
</file>